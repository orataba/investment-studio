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文件\基金优化方案\基金净值更新20250827\"/>
    </mc:Choice>
  </mc:AlternateContent>
  <xr:revisionPtr revIDLastSave="0" documentId="13_ncr:1_{1BF59E1D-AD06-4E8E-803F-1AF28F1B554B}" xr6:coauthVersionLast="47" xr6:coauthVersionMax="47" xr10:uidLastSave="{00000000-0000-0000-0000-000000000000}"/>
  <bookViews>
    <workbookView xWindow="-98" yWindow="-98" windowWidth="19396" windowHeight="10276" xr2:uid="{AF049B69-7BE4-A04E-A69A-2B4CA15B7586}"/>
  </bookViews>
  <sheets>
    <sheet name="净值" sheetId="3" r:id="rId1"/>
  </sheets>
  <definedNames>
    <definedName name="_xlnm._FilterDatabase" localSheetId="0" hidden="1">净值!$A$1:$C$1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3" i="3" l="1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92" i="3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C53" i="3" l="1"/>
  <c r="C17" i="3"/>
  <c r="C76" i="3"/>
  <c r="C40" i="3"/>
  <c r="C4" i="3"/>
  <c r="C87" i="3"/>
  <c r="C63" i="3"/>
  <c r="C39" i="3"/>
  <c r="C15" i="3"/>
  <c r="C86" i="3"/>
  <c r="C74" i="3"/>
  <c r="C62" i="3"/>
  <c r="C50" i="3"/>
  <c r="C38" i="3"/>
  <c r="C26" i="3"/>
  <c r="C85" i="3"/>
  <c r="C73" i="3"/>
  <c r="C61" i="3"/>
  <c r="C49" i="3"/>
  <c r="C37" i="3"/>
  <c r="C25" i="3"/>
  <c r="C13" i="3"/>
  <c r="C84" i="3"/>
  <c r="C72" i="3"/>
  <c r="C60" i="3"/>
  <c r="C48" i="3"/>
  <c r="C36" i="3"/>
  <c r="C24" i="3"/>
  <c r="C12" i="3"/>
  <c r="C89" i="3"/>
  <c r="C41" i="3"/>
  <c r="C52" i="3"/>
  <c r="C16" i="3"/>
  <c r="C75" i="3"/>
  <c r="C51" i="3"/>
  <c r="C83" i="3"/>
  <c r="C71" i="3"/>
  <c r="C59" i="3"/>
  <c r="C47" i="3"/>
  <c r="C35" i="3"/>
  <c r="C23" i="3"/>
  <c r="C11" i="3"/>
  <c r="B107" i="3"/>
  <c r="B108" i="3" s="1"/>
  <c r="B109" i="3" s="1"/>
  <c r="B110" i="3" s="1"/>
  <c r="B111" i="3" s="1"/>
  <c r="B112" i="3" s="1"/>
  <c r="B113" i="3" s="1"/>
  <c r="B114" i="3" s="1"/>
  <c r="B115" i="3" s="1"/>
  <c r="C82" i="3"/>
  <c r="C70" i="3"/>
  <c r="C58" i="3"/>
  <c r="C46" i="3"/>
  <c r="C34" i="3"/>
  <c r="C22" i="3"/>
  <c r="C10" i="3"/>
  <c r="C77" i="3"/>
  <c r="C5" i="3"/>
  <c r="C68" i="3"/>
  <c r="C65" i="3"/>
  <c r="C29" i="3"/>
  <c r="C88" i="3"/>
  <c r="C64" i="3"/>
  <c r="C28" i="3"/>
  <c r="C81" i="3"/>
  <c r="C69" i="3"/>
  <c r="C57" i="3"/>
  <c r="C45" i="3"/>
  <c r="C33" i="3"/>
  <c r="C21" i="3"/>
  <c r="C9" i="3"/>
  <c r="C80" i="3"/>
  <c r="C56" i="3"/>
  <c r="C44" i="3"/>
  <c r="C32" i="3"/>
  <c r="C20" i="3"/>
  <c r="C8" i="3"/>
  <c r="C91" i="3"/>
  <c r="C79" i="3"/>
  <c r="C67" i="3"/>
  <c r="C55" i="3"/>
  <c r="C43" i="3"/>
  <c r="C31" i="3"/>
  <c r="C19" i="3"/>
  <c r="C7" i="3"/>
  <c r="C90" i="3"/>
  <c r="C78" i="3"/>
  <c r="C66" i="3"/>
  <c r="C54" i="3"/>
  <c r="C42" i="3"/>
  <c r="C30" i="3"/>
  <c r="C18" i="3"/>
  <c r="C6" i="3"/>
  <c r="C27" i="3"/>
  <c r="C3" i="3"/>
  <c r="C14" i="3"/>
</calcChain>
</file>

<file path=xl/sharedStrings.xml><?xml version="1.0" encoding="utf-8"?>
<sst xmlns="http://schemas.openxmlformats.org/spreadsheetml/2006/main" count="3" uniqueCount="3">
  <si>
    <t>日期</t>
  </si>
  <si>
    <t>净值</t>
  </si>
  <si>
    <t>周度涨跌幅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</si>
</sst>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_ 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  <font>
      <sz val="12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10" fontId="0" fillId="0" borderId="0" xfId="1" applyNumberFormat="1" applyFont="1">
      <alignment vertical="center"/>
    </xf>
    <xf numFmtId="9" fontId="0" fillId="0" borderId="0" xfId="1" applyFont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top"/>
    </xf>
    <xf numFmtId="10" fontId="0" fillId="0" borderId="0" xfId="0" applyNumberFormat="1">
      <alignment vertical="center"/>
    </xf>
    <xf numFmtId="177" fontId="0" fillId="0" borderId="0" xfId="0" applyNumberFormat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top"/>
    </xf>
    <xf numFmtId="176" fontId="0" fillId="0" borderId="2" xfId="0" applyNumberFormat="1" applyBorder="1" applyAlignment="1">
      <alignment horizontal="center" vertical="top"/>
    </xf>
    <xf numFmtId="10" fontId="0" fillId="0" borderId="1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Summer</a:t>
            </a:r>
            <a:r>
              <a:rPr lang="zh-CN" altLang="en-US"/>
              <a:t>成立以来净值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净值!$A$3:$A$143</c:f>
              <c:numCache>
                <c:formatCode>m/d/yyyy</c:formatCode>
                <c:ptCount val="141"/>
                <c:pt idx="0">
                  <c:v>45107</c:v>
                </c:pt>
                <c:pt idx="1">
                  <c:v>45114</c:v>
                </c:pt>
                <c:pt idx="2">
                  <c:v>45121</c:v>
                </c:pt>
                <c:pt idx="3">
                  <c:v>45128</c:v>
                </c:pt>
                <c:pt idx="4">
                  <c:v>45135</c:v>
                </c:pt>
                <c:pt idx="5">
                  <c:v>45142</c:v>
                </c:pt>
                <c:pt idx="6">
                  <c:v>45149</c:v>
                </c:pt>
                <c:pt idx="7">
                  <c:v>45156</c:v>
                </c:pt>
                <c:pt idx="8">
                  <c:v>45163</c:v>
                </c:pt>
                <c:pt idx="9">
                  <c:v>45170</c:v>
                </c:pt>
                <c:pt idx="10">
                  <c:v>45177</c:v>
                </c:pt>
                <c:pt idx="11">
                  <c:v>45184</c:v>
                </c:pt>
                <c:pt idx="12">
                  <c:v>45191</c:v>
                </c:pt>
                <c:pt idx="13">
                  <c:v>45198</c:v>
                </c:pt>
                <c:pt idx="14">
                  <c:v>45205</c:v>
                </c:pt>
                <c:pt idx="15">
                  <c:v>45212</c:v>
                </c:pt>
                <c:pt idx="16">
                  <c:v>45219</c:v>
                </c:pt>
                <c:pt idx="17">
                  <c:v>45226</c:v>
                </c:pt>
                <c:pt idx="18">
                  <c:v>45233</c:v>
                </c:pt>
                <c:pt idx="19">
                  <c:v>45240</c:v>
                </c:pt>
                <c:pt idx="20">
                  <c:v>45247</c:v>
                </c:pt>
                <c:pt idx="21">
                  <c:v>45254</c:v>
                </c:pt>
                <c:pt idx="22">
                  <c:v>45261</c:v>
                </c:pt>
                <c:pt idx="23">
                  <c:v>45268</c:v>
                </c:pt>
                <c:pt idx="24">
                  <c:v>45275</c:v>
                </c:pt>
                <c:pt idx="25">
                  <c:v>45282</c:v>
                </c:pt>
                <c:pt idx="26">
                  <c:v>45289</c:v>
                </c:pt>
                <c:pt idx="27">
                  <c:v>45296</c:v>
                </c:pt>
                <c:pt idx="28">
                  <c:v>45303</c:v>
                </c:pt>
                <c:pt idx="29">
                  <c:v>45310</c:v>
                </c:pt>
                <c:pt idx="30">
                  <c:v>45317</c:v>
                </c:pt>
                <c:pt idx="31">
                  <c:v>45324</c:v>
                </c:pt>
                <c:pt idx="32">
                  <c:v>45331</c:v>
                </c:pt>
                <c:pt idx="33">
                  <c:v>45338</c:v>
                </c:pt>
                <c:pt idx="34">
                  <c:v>45345</c:v>
                </c:pt>
                <c:pt idx="35">
                  <c:v>45352</c:v>
                </c:pt>
                <c:pt idx="36">
                  <c:v>45359</c:v>
                </c:pt>
                <c:pt idx="37">
                  <c:v>45366</c:v>
                </c:pt>
                <c:pt idx="38">
                  <c:v>45373</c:v>
                </c:pt>
                <c:pt idx="39">
                  <c:v>45380</c:v>
                </c:pt>
                <c:pt idx="40">
                  <c:v>45387</c:v>
                </c:pt>
                <c:pt idx="41">
                  <c:v>45394</c:v>
                </c:pt>
                <c:pt idx="42">
                  <c:v>45401</c:v>
                </c:pt>
                <c:pt idx="43">
                  <c:v>45408</c:v>
                </c:pt>
                <c:pt idx="44">
                  <c:v>45415</c:v>
                </c:pt>
                <c:pt idx="45">
                  <c:v>45422</c:v>
                </c:pt>
                <c:pt idx="46">
                  <c:v>45429</c:v>
                </c:pt>
                <c:pt idx="47">
                  <c:v>45436</c:v>
                </c:pt>
                <c:pt idx="48">
                  <c:v>45443</c:v>
                </c:pt>
                <c:pt idx="49">
                  <c:v>45450</c:v>
                </c:pt>
                <c:pt idx="50">
                  <c:v>45457</c:v>
                </c:pt>
                <c:pt idx="51">
                  <c:v>45464</c:v>
                </c:pt>
                <c:pt idx="52">
                  <c:v>45471</c:v>
                </c:pt>
                <c:pt idx="53">
                  <c:v>45478</c:v>
                </c:pt>
                <c:pt idx="54">
                  <c:v>45485</c:v>
                </c:pt>
                <c:pt idx="55">
                  <c:v>45492</c:v>
                </c:pt>
                <c:pt idx="56">
                  <c:v>45499</c:v>
                </c:pt>
                <c:pt idx="57">
                  <c:v>45506</c:v>
                </c:pt>
                <c:pt idx="58">
                  <c:v>45513</c:v>
                </c:pt>
                <c:pt idx="59">
                  <c:v>45520</c:v>
                </c:pt>
                <c:pt idx="60">
                  <c:v>45527</c:v>
                </c:pt>
                <c:pt idx="61">
                  <c:v>45534</c:v>
                </c:pt>
                <c:pt idx="62">
                  <c:v>45541</c:v>
                </c:pt>
                <c:pt idx="63">
                  <c:v>45548</c:v>
                </c:pt>
                <c:pt idx="64">
                  <c:v>45555</c:v>
                </c:pt>
                <c:pt idx="65">
                  <c:v>45562</c:v>
                </c:pt>
                <c:pt idx="66">
                  <c:v>45576</c:v>
                </c:pt>
                <c:pt idx="67">
                  <c:v>45583</c:v>
                </c:pt>
                <c:pt idx="68">
                  <c:v>45590</c:v>
                </c:pt>
                <c:pt idx="69">
                  <c:v>45595</c:v>
                </c:pt>
                <c:pt idx="70">
                  <c:v>45597</c:v>
                </c:pt>
                <c:pt idx="71">
                  <c:v>45604</c:v>
                </c:pt>
                <c:pt idx="72">
                  <c:v>45611</c:v>
                </c:pt>
                <c:pt idx="73">
                  <c:v>45618</c:v>
                </c:pt>
                <c:pt idx="74">
                  <c:v>45625</c:v>
                </c:pt>
                <c:pt idx="75">
                  <c:v>45632</c:v>
                </c:pt>
                <c:pt idx="76">
                  <c:v>45639</c:v>
                </c:pt>
                <c:pt idx="77">
                  <c:v>45646</c:v>
                </c:pt>
                <c:pt idx="78">
                  <c:v>45653</c:v>
                </c:pt>
                <c:pt idx="79">
                  <c:v>45660</c:v>
                </c:pt>
                <c:pt idx="80">
                  <c:v>45667</c:v>
                </c:pt>
                <c:pt idx="81">
                  <c:v>45674</c:v>
                </c:pt>
                <c:pt idx="82">
                  <c:v>45681</c:v>
                </c:pt>
                <c:pt idx="83">
                  <c:v>45688</c:v>
                </c:pt>
                <c:pt idx="84">
                  <c:v>45695</c:v>
                </c:pt>
                <c:pt idx="85">
                  <c:v>45702</c:v>
                </c:pt>
                <c:pt idx="86">
                  <c:v>45709</c:v>
                </c:pt>
                <c:pt idx="87">
                  <c:v>45716</c:v>
                </c:pt>
                <c:pt idx="88">
                  <c:v>45723</c:v>
                </c:pt>
                <c:pt idx="89">
                  <c:v>45730</c:v>
                </c:pt>
                <c:pt idx="90">
                  <c:v>45737</c:v>
                </c:pt>
                <c:pt idx="91">
                  <c:v>45747</c:v>
                </c:pt>
                <c:pt idx="92">
                  <c:v>45750</c:v>
                </c:pt>
                <c:pt idx="93">
                  <c:v>45758</c:v>
                </c:pt>
                <c:pt idx="94">
                  <c:v>45765</c:v>
                </c:pt>
                <c:pt idx="95">
                  <c:v>45772</c:v>
                </c:pt>
                <c:pt idx="96">
                  <c:v>45779</c:v>
                </c:pt>
                <c:pt idx="97">
                  <c:v>45786</c:v>
                </c:pt>
                <c:pt idx="98">
                  <c:v>45796</c:v>
                </c:pt>
                <c:pt idx="99">
                  <c:v>45803</c:v>
                </c:pt>
                <c:pt idx="100">
                  <c:v>45810</c:v>
                </c:pt>
                <c:pt idx="101">
                  <c:v>45817</c:v>
                </c:pt>
                <c:pt idx="102">
                  <c:v>45824</c:v>
                </c:pt>
                <c:pt idx="103">
                  <c:v>45831</c:v>
                </c:pt>
                <c:pt idx="104">
                  <c:v>45838</c:v>
                </c:pt>
                <c:pt idx="105">
                  <c:v>45845</c:v>
                </c:pt>
                <c:pt idx="106">
                  <c:v>45852</c:v>
                </c:pt>
                <c:pt idx="107">
                  <c:v>45856</c:v>
                </c:pt>
                <c:pt idx="108">
                  <c:v>45863</c:v>
                </c:pt>
                <c:pt idx="109">
                  <c:v>45870</c:v>
                </c:pt>
                <c:pt idx="110">
                  <c:v>45877</c:v>
                </c:pt>
                <c:pt idx="111">
                  <c:v>45884</c:v>
                </c:pt>
                <c:pt idx="112">
                  <c:v>45891</c:v>
                </c:pt>
                <c:pt idx="113">
                  <c:v>45898</c:v>
                </c:pt>
                <c:pt idx="114">
                  <c:v>45905</c:v>
                </c:pt>
                <c:pt idx="115">
                  <c:v>45912</c:v>
                </c:pt>
                <c:pt idx="116">
                  <c:v>45919</c:v>
                </c:pt>
                <c:pt idx="117">
                  <c:v>45926</c:v>
                </c:pt>
                <c:pt idx="118">
                  <c:v>45940</c:v>
                </c:pt>
                <c:pt idx="119">
                  <c:v>45947</c:v>
                </c:pt>
                <c:pt idx="120">
                  <c:v>45954</c:v>
                </c:pt>
                <c:pt idx="121">
                  <c:v>45961</c:v>
                </c:pt>
                <c:pt idx="122">
                  <c:v>45968</c:v>
                </c:pt>
                <c:pt idx="123">
                  <c:v>45975</c:v>
                </c:pt>
                <c:pt idx="124">
                  <c:v>45982</c:v>
                </c:pt>
                <c:pt idx="125">
                  <c:v>45989</c:v>
                </c:pt>
                <c:pt idx="126">
                  <c:v>45996</c:v>
                </c:pt>
                <c:pt idx="127">
                  <c:v>46003</c:v>
                </c:pt>
                <c:pt idx="128">
                  <c:v>46010</c:v>
                </c:pt>
                <c:pt idx="129">
                  <c:v>46017</c:v>
                </c:pt>
                <c:pt idx="130">
                  <c:v>46024</c:v>
                </c:pt>
                <c:pt idx="131">
                  <c:v>46031</c:v>
                </c:pt>
                <c:pt idx="132">
                  <c:v>46041</c:v>
                </c:pt>
                <c:pt idx="133">
                  <c:v>46045</c:v>
                </c:pt>
                <c:pt idx="134">
                  <c:v>46052</c:v>
                </c:pt>
                <c:pt idx="135">
                  <c:v>46059</c:v>
                </c:pt>
                <c:pt idx="136">
                  <c:v>46073</c:v>
                </c:pt>
                <c:pt idx="137">
                  <c:v>46080</c:v>
                </c:pt>
                <c:pt idx="138">
                  <c:v>46087</c:v>
                </c:pt>
                <c:pt idx="139">
                  <c:v>46094</c:v>
                </c:pt>
                <c:pt idx="140">
                  <c:v>46101</c:v>
                </c:pt>
              </c:numCache>
            </c:numRef>
          </c:cat>
          <c:val>
            <c:numRef>
              <c:f>净值!$B$3:$B$143</c:f>
              <c:numCache>
                <c:formatCode>0.0000</c:formatCode>
                <c:ptCount val="141"/>
                <c:pt idx="0">
                  <c:v>0.99791729399999995</c:v>
                </c:pt>
                <c:pt idx="1">
                  <c:v>0.99972200899999997</c:v>
                </c:pt>
                <c:pt idx="2">
                  <c:v>0.99309279399999995</c:v>
                </c:pt>
                <c:pt idx="3">
                  <c:v>0.98997453099999999</c:v>
                </c:pt>
                <c:pt idx="4">
                  <c:v>0.97045479999999995</c:v>
                </c:pt>
                <c:pt idx="5">
                  <c:v>0.97193536800000002</c:v>
                </c:pt>
                <c:pt idx="6">
                  <c:v>0.96041308800000003</c:v>
                </c:pt>
                <c:pt idx="7">
                  <c:v>0.97178061699999996</c:v>
                </c:pt>
                <c:pt idx="8">
                  <c:v>0.99513696900000004</c:v>
                </c:pt>
                <c:pt idx="9">
                  <c:v>1.0034054459999999</c:v>
                </c:pt>
                <c:pt idx="10">
                  <c:v>0.99333181000000004</c:v>
                </c:pt>
                <c:pt idx="11">
                  <c:v>0.89849343299999995</c:v>
                </c:pt>
                <c:pt idx="12">
                  <c:v>0.89932543499999995</c:v>
                </c:pt>
                <c:pt idx="13">
                  <c:v>0.89882583599999999</c:v>
                </c:pt>
                <c:pt idx="14">
                  <c:v>0.89795683599999998</c:v>
                </c:pt>
                <c:pt idx="15">
                  <c:v>0.89185904100000002</c:v>
                </c:pt>
                <c:pt idx="16">
                  <c:v>0.89402470300000003</c:v>
                </c:pt>
                <c:pt idx="17">
                  <c:v>0.89564466499999995</c:v>
                </c:pt>
                <c:pt idx="18">
                  <c:v>0.89557532100000004</c:v>
                </c:pt>
                <c:pt idx="19">
                  <c:v>0.90092302700000004</c:v>
                </c:pt>
                <c:pt idx="20">
                  <c:v>0.89106295000000002</c:v>
                </c:pt>
                <c:pt idx="21">
                  <c:v>0.89064285899999995</c:v>
                </c:pt>
                <c:pt idx="22">
                  <c:v>0.89180603599999997</c:v>
                </c:pt>
                <c:pt idx="23">
                  <c:v>0.88899064500000002</c:v>
                </c:pt>
                <c:pt idx="24">
                  <c:v>0.88551261800000003</c:v>
                </c:pt>
                <c:pt idx="25">
                  <c:v>0.88622391599999994</c:v>
                </c:pt>
                <c:pt idx="26">
                  <c:v>0.88086397900000002</c:v>
                </c:pt>
                <c:pt idx="27">
                  <c:v>0.88440768000000003</c:v>
                </c:pt>
                <c:pt idx="28">
                  <c:v>0.89029651399999998</c:v>
                </c:pt>
                <c:pt idx="29">
                  <c:v>0.88912608400000004</c:v>
                </c:pt>
                <c:pt idx="30">
                  <c:v>0.89396814700000005</c:v>
                </c:pt>
                <c:pt idx="31">
                  <c:v>0.89808190200000004</c:v>
                </c:pt>
                <c:pt idx="32">
                  <c:v>0.90004607299999995</c:v>
                </c:pt>
                <c:pt idx="33">
                  <c:v>0.899314744</c:v>
                </c:pt>
                <c:pt idx="34">
                  <c:v>0.90280067900000005</c:v>
                </c:pt>
                <c:pt idx="35">
                  <c:v>0.90497499400000003</c:v>
                </c:pt>
                <c:pt idx="36">
                  <c:v>0.90932861499999995</c:v>
                </c:pt>
                <c:pt idx="37">
                  <c:v>0.91528305300000001</c:v>
                </c:pt>
                <c:pt idx="38">
                  <c:v>0.91760664199999997</c:v>
                </c:pt>
                <c:pt idx="39">
                  <c:v>0.91942963899999997</c:v>
                </c:pt>
                <c:pt idx="40">
                  <c:v>0.91550902700000003</c:v>
                </c:pt>
                <c:pt idx="41">
                  <c:v>0.91769589600000001</c:v>
                </c:pt>
                <c:pt idx="42">
                  <c:v>0.93224137600000001</c:v>
                </c:pt>
                <c:pt idx="43">
                  <c:v>0.93466080600000001</c:v>
                </c:pt>
                <c:pt idx="44">
                  <c:v>0.94209208600000005</c:v>
                </c:pt>
                <c:pt idx="45">
                  <c:v>0.94219604999999995</c:v>
                </c:pt>
                <c:pt idx="46">
                  <c:v>0.94648748100000002</c:v>
                </c:pt>
                <c:pt idx="47">
                  <c:v>0.94773575899999996</c:v>
                </c:pt>
                <c:pt idx="48">
                  <c:v>0.94865991000000005</c:v>
                </c:pt>
                <c:pt idx="49">
                  <c:v>0.95274762700000004</c:v>
                </c:pt>
                <c:pt idx="50">
                  <c:v>0.95953611800000005</c:v>
                </c:pt>
                <c:pt idx="51">
                  <c:v>0.96221708800000005</c:v>
                </c:pt>
                <c:pt idx="52">
                  <c:v>0.96651484700000001</c:v>
                </c:pt>
                <c:pt idx="53">
                  <c:v>0.96794867699999998</c:v>
                </c:pt>
                <c:pt idx="54">
                  <c:v>0.97077109399999995</c:v>
                </c:pt>
                <c:pt idx="55">
                  <c:v>0.96939295199999997</c:v>
                </c:pt>
                <c:pt idx="56">
                  <c:v>0.97967401200000004</c:v>
                </c:pt>
                <c:pt idx="57">
                  <c:v>0.97863977599999996</c:v>
                </c:pt>
                <c:pt idx="58">
                  <c:v>0.98511948299999996</c:v>
                </c:pt>
                <c:pt idx="59">
                  <c:v>0.98513957200000002</c:v>
                </c:pt>
                <c:pt idx="60">
                  <c:v>0.98437666000000001</c:v>
                </c:pt>
                <c:pt idx="61">
                  <c:v>0.98735657700000001</c:v>
                </c:pt>
                <c:pt idx="62">
                  <c:v>0.99070000000000003</c:v>
                </c:pt>
                <c:pt idx="63">
                  <c:v>0.99550000000000005</c:v>
                </c:pt>
                <c:pt idx="64">
                  <c:v>0.99750000000000005</c:v>
                </c:pt>
                <c:pt idx="65">
                  <c:v>0.99709999999999999</c:v>
                </c:pt>
                <c:pt idx="66">
                  <c:v>1.0019</c:v>
                </c:pt>
                <c:pt idx="67">
                  <c:v>1.0078</c:v>
                </c:pt>
                <c:pt idx="68">
                  <c:v>1.0091000000000001</c:v>
                </c:pt>
                <c:pt idx="69">
                  <c:v>1.0124</c:v>
                </c:pt>
                <c:pt idx="70">
                  <c:v>1.0119</c:v>
                </c:pt>
                <c:pt idx="71">
                  <c:v>1.0112000000000001</c:v>
                </c:pt>
                <c:pt idx="72">
                  <c:v>1.0113000000000001</c:v>
                </c:pt>
                <c:pt idx="73">
                  <c:v>1.0124</c:v>
                </c:pt>
                <c:pt idx="74">
                  <c:v>1.0136000000000001</c:v>
                </c:pt>
                <c:pt idx="75">
                  <c:v>1.0127999999999999</c:v>
                </c:pt>
                <c:pt idx="76">
                  <c:v>1.004</c:v>
                </c:pt>
                <c:pt idx="77">
                  <c:v>1</c:v>
                </c:pt>
                <c:pt idx="78">
                  <c:v>1.0001</c:v>
                </c:pt>
                <c:pt idx="79">
                  <c:v>1.0015000000000001</c:v>
                </c:pt>
                <c:pt idx="80">
                  <c:v>1.0038</c:v>
                </c:pt>
                <c:pt idx="81">
                  <c:v>0.98960000000000004</c:v>
                </c:pt>
                <c:pt idx="82">
                  <c:v>0.98729999999999996</c:v>
                </c:pt>
                <c:pt idx="83">
                  <c:v>0.98829999999999996</c:v>
                </c:pt>
                <c:pt idx="84">
                  <c:v>0.98770000000000002</c:v>
                </c:pt>
                <c:pt idx="85">
                  <c:v>0.98939999999999995</c:v>
                </c:pt>
                <c:pt idx="86">
                  <c:v>0.98950000000000005</c:v>
                </c:pt>
                <c:pt idx="87">
                  <c:v>0.99270000000000003</c:v>
                </c:pt>
                <c:pt idx="88">
                  <c:v>0.98050000000000004</c:v>
                </c:pt>
                <c:pt idx="89">
                  <c:v>0.98118634999999998</c:v>
                </c:pt>
                <c:pt idx="90">
                  <c:v>0.98344307860499991</c:v>
                </c:pt>
                <c:pt idx="91">
                  <c:v>0.9843281773757443</c:v>
                </c:pt>
                <c:pt idx="92">
                  <c:v>0.98777332599655943</c:v>
                </c:pt>
                <c:pt idx="93">
                  <c:v>0.991921973965745</c:v>
                </c:pt>
                <c:pt idx="94">
                  <c:v>0.9959888540590045</c:v>
                </c:pt>
                <c:pt idx="95">
                  <c:v>0.99947481504821112</c:v>
                </c:pt>
                <c:pt idx="96">
                  <c:v>0.99957476252971589</c:v>
                </c:pt>
                <c:pt idx="97">
                  <c:v>0.99887506019594507</c:v>
                </c:pt>
                <c:pt idx="98">
                  <c:v>0.99647776005147481</c:v>
                </c:pt>
                <c:pt idx="99">
                  <c:v>0.99946719333162914</c:v>
                </c:pt>
                <c:pt idx="100">
                  <c:v>1.0007665006829602</c:v>
                </c:pt>
                <c:pt idx="101">
                  <c:v>1.0029681869844627</c:v>
                </c:pt>
                <c:pt idx="102">
                  <c:v>1.0047735297210347</c:v>
                </c:pt>
                <c:pt idx="103">
                  <c:v>1.0112040803112494</c:v>
                </c:pt>
                <c:pt idx="104" formatCode="0.0000_ ">
                  <c:v>1.0165634619368991</c:v>
                </c:pt>
                <c:pt idx="105" formatCode="0.0000_ ">
                  <c:v>1.0190032142455476</c:v>
                </c:pt>
                <c:pt idx="106" formatCode="0.0000_ ">
                  <c:v>1.0175766097456038</c:v>
                </c:pt>
                <c:pt idx="107" formatCode="0.0000_ ">
                  <c:v>1.0183906710334003</c:v>
                </c:pt>
                <c:pt idx="108" formatCode="0.0000_ ">
                  <c:v>1.0204274523754671</c:v>
                </c:pt>
                <c:pt idx="109" formatCode="0.0000_ ">
                  <c:v>1.0236928202230686</c:v>
                </c:pt>
                <c:pt idx="110" formatCode="0.0000_ ">
                  <c:v>1.0239999280691354</c:v>
                </c:pt>
                <c:pt idx="111" formatCode="0.0000_ ">
                  <c:v>1.0259455279324667</c:v>
                </c:pt>
                <c:pt idx="112" formatCode="0.0000_ ">
                  <c:v>1.0274844462243655</c:v>
                </c:pt>
                <c:pt idx="113" formatCode="0.0000_ ">
                  <c:v>1.0191618222099481</c:v>
                </c:pt>
                <c:pt idx="114" formatCode="0.0000_ ">
                  <c:v>1.0206905649432632</c:v>
                </c:pt>
                <c:pt idx="115">
                  <c:v>1.0235484985251042</c:v>
                </c:pt>
                <c:pt idx="116">
                  <c:v>1.0251861761227443</c:v>
                </c:pt>
                <c:pt idx="117">
                  <c:v>1.028056697415888</c:v>
                </c:pt>
                <c:pt idx="118">
                  <c:v>1.0299071994712365</c:v>
                </c:pt>
                <c:pt idx="119">
                  <c:v>1.0464887053827234</c:v>
                </c:pt>
                <c:pt idx="120">
                  <c:v>1.0566396458249359</c:v>
                </c:pt>
                <c:pt idx="121">
                  <c:v>1.0602322206207406</c:v>
                </c:pt>
                <c:pt idx="122">
                  <c:v>1.063518940504665</c:v>
                </c:pt>
                <c:pt idx="123">
                  <c:v>1.0628808291403622</c:v>
                </c:pt>
                <c:pt idx="124">
                  <c:v>1.0710650115247431</c:v>
                </c:pt>
                <c:pt idx="125">
                  <c:v>1.0689228815016936</c:v>
                </c:pt>
                <c:pt idx="126">
                  <c:v>1.0721296501461985</c:v>
                </c:pt>
                <c:pt idx="127">
                  <c:v>1.0730945668313301</c:v>
                </c:pt>
                <c:pt idx="128">
                  <c:v>1.0742749708548447</c:v>
                </c:pt>
                <c:pt idx="129">
                  <c:v>1.0666476185617753</c:v>
                </c:pt>
                <c:pt idx="130">
                  <c:v>1.0693142376081797</c:v>
                </c:pt>
                <c:pt idx="131">
                  <c:v>1.0716667289309176</c:v>
                </c:pt>
                <c:pt idx="132">
                  <c:v>1.067487228688087</c:v>
                </c:pt>
                <c:pt idx="133">
                  <c:v>1.066846736350874</c:v>
                </c:pt>
                <c:pt idx="134">
                  <c:v>1.0754881949153161</c:v>
                </c:pt>
                <c:pt idx="135">
                  <c:v>1.0820486729042995</c:v>
                </c:pt>
                <c:pt idx="136">
                  <c:v>1.0806420096295239</c:v>
                </c:pt>
                <c:pt idx="137">
                  <c:v>1.0838839356584125</c:v>
                </c:pt>
                <c:pt idx="138">
                  <c:v>1.0872439758589536</c:v>
                </c:pt>
                <c:pt idx="139">
                  <c:v>1.0980076912199572</c:v>
                </c:pt>
                <c:pt idx="140">
                  <c:v>1.1005331089097632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A-4B43-901D-70ADE3EBA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930560"/>
        <c:axId val="980932272"/>
      </c:lineChart>
      <c:dateAx>
        <c:axId val="9809305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0932272"/>
        <c:crosses val="autoZero"/>
        <c:auto val="1"/>
        <c:lblOffset val="100"/>
        <c:baseTimeUnit val="days"/>
        <c:majorUnit val="2"/>
        <c:majorTimeUnit val="months"/>
      </c:dateAx>
      <c:valAx>
        <c:axId val="98093227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093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246197</xdr:colOff>
      <xdr:row>127</xdr:row>
      <xdr:rowOff>165478</xdr:rowOff>
    </xdr:from>
    <xdr:to>
      <xdr:col>8</xdr:col>
      <xdr:colOff>165476</xdr:colOff>
      <xdr:row>141</xdr:row>
      <xdr:rowOff>185658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FAC0B42-7B3B-980F-40CF-48F017AC76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48B9-5D0D-8F4F-909A-402BACDE1F47}">
  <dimension ref="A1:H143"/>
  <sheetViews>
    <sheetView tabSelected="1" topLeftCell="A139" zoomScale="118" zoomScaleNormal="118" workbookViewId="0">
      <selection activeCell="G147" sqref="G147"/>
    </sheetView>
  </sheetViews>
  <sheetFormatPr defaultColWidth="11" defaultRowHeight="15"/>
  <cols>
    <col min="1" max="1" width="11.64453125" bestFit="1" customWidth="1"/>
    <col min="2" max="2" width="11.5859375" bestFit="1" customWidth="1"/>
    <col min="5" max="5" width="20.46875" customWidth="1"/>
    <col min="6" max="6" width="13.64453125" bestFit="1" customWidth="1"/>
  </cols>
  <sheetData>
    <row r="1" spans="1:8">
      <c r="A1" t="s">
        <v>0</v>
      </c>
      <c r="B1" t="s">
        <v>1</v>
      </c>
      <c r="C1" t="s">
        <v>2</v>
      </c>
      <c r="E1" s="6"/>
      <c r="F1" s="7"/>
      <c r="G1" s="7"/>
    </row>
    <row r="2" spans="1:8">
      <c r="A2" s="1">
        <v>45105</v>
      </c>
      <c r="B2">
        <v>1</v>
      </c>
      <c r="E2" s="6"/>
      <c r="F2" s="12"/>
      <c r="G2" s="13"/>
      <c r="H2" s="5"/>
    </row>
    <row r="3" spans="1:8">
      <c r="A3" s="1">
        <v>45107</v>
      </c>
      <c r="B3" s="2">
        <v>0.99791729399999995</v>
      </c>
      <c r="C3" s="4">
        <f>(B3-B2)/B2</f>
        <v>-2.0827060000000452E-3</v>
      </c>
      <c r="E3" s="6"/>
      <c r="F3" s="12"/>
      <c r="G3" s="13"/>
      <c r="H3" s="5"/>
    </row>
    <row r="4" spans="1:8">
      <c r="A4" s="1">
        <v>45114</v>
      </c>
      <c r="B4" s="2">
        <v>0.99972200899999997</v>
      </c>
      <c r="C4" s="4">
        <f t="shared" ref="C4:C67" si="0">(B4-B3)/B3</f>
        <v>1.8084815353445636E-3</v>
      </c>
      <c r="E4" s="6"/>
      <c r="F4" s="14"/>
      <c r="G4" s="15"/>
    </row>
    <row r="5" spans="1:8">
      <c r="A5" s="1">
        <v>45121</v>
      </c>
      <c r="B5" s="2">
        <v>0.99309279399999995</v>
      </c>
      <c r="C5" s="4">
        <f t="shared" si="0"/>
        <v>-6.6310583745486209E-3</v>
      </c>
      <c r="E5" s="6"/>
      <c r="F5" s="14"/>
      <c r="G5" s="15"/>
    </row>
    <row r="6" spans="1:8">
      <c r="A6" s="1">
        <v>45128</v>
      </c>
      <c r="B6" s="2">
        <v>0.98997453099999999</v>
      </c>
      <c r="C6" s="4">
        <f t="shared" si="0"/>
        <v>-3.1399512903926628E-3</v>
      </c>
      <c r="E6" s="6"/>
      <c r="F6" s="10"/>
      <c r="G6" s="11"/>
    </row>
    <row r="7" spans="1:8">
      <c r="A7" s="1">
        <v>45135</v>
      </c>
      <c r="B7" s="2">
        <v>0.97045479999999995</v>
      </c>
      <c r="C7" s="4">
        <f t="shared" si="0"/>
        <v>-1.9717407255197397E-2</v>
      </c>
      <c r="E7" s="6"/>
      <c r="F7" s="10"/>
      <c r="G7" s="11"/>
    </row>
    <row r="8" spans="1:8">
      <c r="A8" s="1">
        <v>45142</v>
      </c>
      <c r="B8" s="2">
        <v>0.97193536800000002</v>
      </c>
      <c r="C8" s="4">
        <f t="shared" si="0"/>
        <v>1.5256434405807164E-3</v>
      </c>
    </row>
    <row r="9" spans="1:8">
      <c r="A9" s="1">
        <v>45149</v>
      </c>
      <c r="B9" s="2">
        <v>0.96041308800000003</v>
      </c>
      <c r="C9" s="4">
        <f t="shared" si="0"/>
        <v>-1.1854985814241915E-2</v>
      </c>
    </row>
    <row r="10" spans="1:8">
      <c r="A10" s="1">
        <v>45156</v>
      </c>
      <c r="B10" s="2">
        <v>0.97178061699999996</v>
      </c>
      <c r="C10" s="4">
        <f t="shared" si="0"/>
        <v>1.1836082975162383E-2</v>
      </c>
    </row>
    <row r="11" spans="1:8">
      <c r="A11" s="1">
        <v>45163</v>
      </c>
      <c r="B11" s="2">
        <v>0.99513696900000004</v>
      </c>
      <c r="C11" s="4">
        <f t="shared" si="0"/>
        <v>2.4034593396299528E-2</v>
      </c>
    </row>
    <row r="12" spans="1:8">
      <c r="A12" s="1">
        <v>45170</v>
      </c>
      <c r="B12" s="2">
        <v>1.0034054459999999</v>
      </c>
      <c r="C12" s="4">
        <f t="shared" si="0"/>
        <v>8.3088833573420236E-3</v>
      </c>
    </row>
    <row r="13" spans="1:8">
      <c r="A13" s="1">
        <v>45177</v>
      </c>
      <c r="B13" s="2">
        <v>0.99333181000000004</v>
      </c>
      <c r="C13" s="4">
        <f t="shared" si="0"/>
        <v>-1.0039447204674517E-2</v>
      </c>
    </row>
    <row r="14" spans="1:8">
      <c r="A14" s="1">
        <v>45184</v>
      </c>
      <c r="B14" s="2">
        <v>0.89849343299999995</v>
      </c>
      <c r="C14" s="4">
        <f t="shared" si="0"/>
        <v>-9.5475022590890427E-2</v>
      </c>
    </row>
    <row r="15" spans="1:8">
      <c r="A15" s="1">
        <v>45191</v>
      </c>
      <c r="B15" s="2">
        <v>0.89932543499999995</v>
      </c>
      <c r="C15" s="4">
        <f t="shared" si="0"/>
        <v>9.2599675127508511E-4</v>
      </c>
    </row>
    <row r="16" spans="1:8">
      <c r="A16" s="1">
        <v>45198</v>
      </c>
      <c r="B16" s="2">
        <v>0.89882583599999999</v>
      </c>
      <c r="C16" s="4">
        <f t="shared" si="0"/>
        <v>-5.5552637627775058E-4</v>
      </c>
    </row>
    <row r="17" spans="1:3">
      <c r="A17" s="1">
        <v>45205</v>
      </c>
      <c r="B17" s="2">
        <v>0.89795683599999998</v>
      </c>
      <c r="C17" s="4">
        <f t="shared" si="0"/>
        <v>-9.6681689065289465E-4</v>
      </c>
    </row>
    <row r="18" spans="1:3">
      <c r="A18" s="1">
        <v>45212</v>
      </c>
      <c r="B18" s="2">
        <v>0.89185904100000002</v>
      </c>
      <c r="C18" s="4">
        <f t="shared" si="0"/>
        <v>-6.7907440040914854E-3</v>
      </c>
    </row>
    <row r="19" spans="1:3">
      <c r="A19" s="1">
        <v>45219</v>
      </c>
      <c r="B19" s="2">
        <v>0.89402470300000003</v>
      </c>
      <c r="C19" s="4">
        <f t="shared" si="0"/>
        <v>2.4282559243574598E-3</v>
      </c>
    </row>
    <row r="20" spans="1:3">
      <c r="A20" s="1">
        <v>45226</v>
      </c>
      <c r="B20" s="2">
        <v>0.89564466499999995</v>
      </c>
      <c r="C20" s="4">
        <f t="shared" si="0"/>
        <v>1.8119879624846555E-3</v>
      </c>
    </row>
    <row r="21" spans="1:3">
      <c r="A21" s="1">
        <v>45233</v>
      </c>
      <c r="B21" s="2">
        <v>0.89557532100000004</v>
      </c>
      <c r="C21" s="4">
        <f t="shared" si="0"/>
        <v>-7.7423561720111066E-5</v>
      </c>
    </row>
    <row r="22" spans="1:3">
      <c r="A22" s="1">
        <v>45240</v>
      </c>
      <c r="B22" s="2">
        <v>0.90092302700000004</v>
      </c>
      <c r="C22" s="4">
        <f t="shared" si="0"/>
        <v>5.9712520818782228E-3</v>
      </c>
    </row>
    <row r="23" spans="1:3">
      <c r="A23" s="1">
        <v>45247</v>
      </c>
      <c r="B23" s="2">
        <v>0.89106295000000002</v>
      </c>
      <c r="C23" s="4">
        <f t="shared" si="0"/>
        <v>-1.0944416675454809E-2</v>
      </c>
    </row>
    <row r="24" spans="1:3">
      <c r="A24" s="1">
        <v>45254</v>
      </c>
      <c r="B24" s="2">
        <v>0.89064285899999995</v>
      </c>
      <c r="C24" s="4">
        <f t="shared" si="0"/>
        <v>-4.7144929547353174E-4</v>
      </c>
    </row>
    <row r="25" spans="1:3">
      <c r="A25" s="1">
        <v>45261</v>
      </c>
      <c r="B25" s="2">
        <v>0.89180603599999997</v>
      </c>
      <c r="C25" s="4">
        <f t="shared" si="0"/>
        <v>1.3059971101166323E-3</v>
      </c>
    </row>
    <row r="26" spans="1:3">
      <c r="A26" s="1">
        <v>45268</v>
      </c>
      <c r="B26" s="2">
        <v>0.88899064500000002</v>
      </c>
      <c r="C26" s="4">
        <f t="shared" si="0"/>
        <v>-3.156954412001698E-3</v>
      </c>
    </row>
    <row r="27" spans="1:3">
      <c r="A27" s="1">
        <v>45275</v>
      </c>
      <c r="B27" s="2">
        <v>0.88551261800000003</v>
      </c>
      <c r="C27" s="4">
        <f t="shared" si="0"/>
        <v>-3.9123325082908991E-3</v>
      </c>
    </row>
    <row r="28" spans="1:3">
      <c r="A28" s="1">
        <v>45282</v>
      </c>
      <c r="B28" s="2">
        <v>0.88622391599999994</v>
      </c>
      <c r="C28" s="4">
        <f t="shared" si="0"/>
        <v>8.032612811395487E-4</v>
      </c>
    </row>
    <row r="29" spans="1:3">
      <c r="A29" s="1">
        <v>45289</v>
      </c>
      <c r="B29" s="2">
        <v>0.88086397900000002</v>
      </c>
      <c r="C29" s="4">
        <f t="shared" si="0"/>
        <v>-6.048061785775511E-3</v>
      </c>
    </row>
    <row r="30" spans="1:3">
      <c r="A30" s="1">
        <v>45296</v>
      </c>
      <c r="B30" s="2">
        <v>0.88440768000000003</v>
      </c>
      <c r="C30" s="4">
        <f t="shared" si="0"/>
        <v>4.0229832124853071E-3</v>
      </c>
    </row>
    <row r="31" spans="1:3">
      <c r="A31" s="1">
        <v>45303</v>
      </c>
      <c r="B31" s="2">
        <v>0.89029651399999998</v>
      </c>
      <c r="C31" s="4">
        <f t="shared" si="0"/>
        <v>6.6585061766989105E-3</v>
      </c>
    </row>
    <row r="32" spans="1:3">
      <c r="A32" s="1">
        <v>45310</v>
      </c>
      <c r="B32" s="2">
        <v>0.88912608400000004</v>
      </c>
      <c r="C32" s="4">
        <f t="shared" si="0"/>
        <v>-1.3146518958513462E-3</v>
      </c>
    </row>
    <row r="33" spans="1:3">
      <c r="A33" s="1">
        <v>45317</v>
      </c>
      <c r="B33" s="2">
        <v>0.89396814700000005</v>
      </c>
      <c r="C33" s="4">
        <f t="shared" si="0"/>
        <v>5.4458676751631633E-3</v>
      </c>
    </row>
    <row r="34" spans="1:3">
      <c r="A34" s="1">
        <v>45324</v>
      </c>
      <c r="B34" s="2">
        <v>0.89808190200000004</v>
      </c>
      <c r="C34" s="4">
        <f t="shared" si="0"/>
        <v>4.6016796166675911E-3</v>
      </c>
    </row>
    <row r="35" spans="1:3">
      <c r="A35" s="1">
        <v>45331</v>
      </c>
      <c r="B35" s="2">
        <v>0.90004607299999995</v>
      </c>
      <c r="C35" s="4">
        <f t="shared" si="0"/>
        <v>2.187073356701384E-3</v>
      </c>
    </row>
    <row r="36" spans="1:3">
      <c r="A36" s="1">
        <v>45338</v>
      </c>
      <c r="B36" s="2">
        <v>0.899314744</v>
      </c>
      <c r="C36" s="4">
        <f t="shared" si="0"/>
        <v>-8.125461817330181E-4</v>
      </c>
    </row>
    <row r="37" spans="1:3">
      <c r="A37" s="1">
        <v>45345</v>
      </c>
      <c r="B37" s="2">
        <v>0.90280067900000005</v>
      </c>
      <c r="C37" s="4">
        <f t="shared" si="0"/>
        <v>3.876212442036924E-3</v>
      </c>
    </row>
    <row r="38" spans="1:3">
      <c r="A38" s="1">
        <v>45352</v>
      </c>
      <c r="B38" s="2">
        <v>0.90497499400000003</v>
      </c>
      <c r="C38" s="4">
        <f t="shared" si="0"/>
        <v>2.4084109046178309E-3</v>
      </c>
    </row>
    <row r="39" spans="1:3">
      <c r="A39" s="1">
        <v>45359</v>
      </c>
      <c r="B39" s="2">
        <v>0.90932861499999995</v>
      </c>
      <c r="C39" s="4">
        <f t="shared" si="0"/>
        <v>4.8107638651504201E-3</v>
      </c>
    </row>
    <row r="40" spans="1:3">
      <c r="A40" s="1">
        <v>45366</v>
      </c>
      <c r="B40" s="2">
        <v>0.91528305300000001</v>
      </c>
      <c r="C40" s="4">
        <f t="shared" si="0"/>
        <v>6.5481696075296849E-3</v>
      </c>
    </row>
    <row r="41" spans="1:3">
      <c r="A41" s="1">
        <v>45373</v>
      </c>
      <c r="B41" s="2">
        <v>0.91760664199999997</v>
      </c>
      <c r="C41" s="4">
        <f t="shared" si="0"/>
        <v>2.5386562030007991E-3</v>
      </c>
    </row>
    <row r="42" spans="1:3">
      <c r="A42" s="1">
        <v>45380</v>
      </c>
      <c r="B42" s="2">
        <v>0.91942963899999997</v>
      </c>
      <c r="C42" s="4">
        <f t="shared" si="0"/>
        <v>1.9866867964541094E-3</v>
      </c>
    </row>
    <row r="43" spans="1:3">
      <c r="A43" s="1">
        <v>45387</v>
      </c>
      <c r="B43" s="2">
        <v>0.91550902700000003</v>
      </c>
      <c r="C43" s="4">
        <f t="shared" si="0"/>
        <v>-4.2641783924478585E-3</v>
      </c>
    </row>
    <row r="44" spans="1:3">
      <c r="A44" s="1">
        <v>45394</v>
      </c>
      <c r="B44" s="2">
        <v>0.91769589600000001</v>
      </c>
      <c r="C44" s="4">
        <f t="shared" si="0"/>
        <v>2.388691903089209E-3</v>
      </c>
    </row>
    <row r="45" spans="1:3">
      <c r="A45" s="1">
        <v>45401</v>
      </c>
      <c r="B45" s="2">
        <v>0.93224137600000001</v>
      </c>
      <c r="C45" s="4">
        <f t="shared" si="0"/>
        <v>1.5850000052740783E-2</v>
      </c>
    </row>
    <row r="46" spans="1:3">
      <c r="A46" s="1">
        <v>45408</v>
      </c>
      <c r="B46" s="2">
        <v>0.93466080600000001</v>
      </c>
      <c r="C46" s="4">
        <f t="shared" si="0"/>
        <v>2.5952827907951602E-3</v>
      </c>
    </row>
    <row r="47" spans="1:3">
      <c r="A47" s="1">
        <v>45415</v>
      </c>
      <c r="B47" s="2">
        <v>0.94209208600000005</v>
      </c>
      <c r="C47" s="4">
        <f t="shared" si="0"/>
        <v>7.9507773860799293E-3</v>
      </c>
    </row>
    <row r="48" spans="1:3">
      <c r="A48" s="1">
        <v>45422</v>
      </c>
      <c r="B48" s="2">
        <v>0.94219604999999995</v>
      </c>
      <c r="C48" s="4">
        <f t="shared" si="0"/>
        <v>1.1035439268078185E-4</v>
      </c>
    </row>
    <row r="49" spans="1:3">
      <c r="A49" s="1">
        <v>45429</v>
      </c>
      <c r="B49" s="2">
        <v>0.94648748100000002</v>
      </c>
      <c r="C49" s="4">
        <f t="shared" si="0"/>
        <v>4.5547113045104233E-3</v>
      </c>
    </row>
    <row r="50" spans="1:3">
      <c r="A50" s="1">
        <v>45436</v>
      </c>
      <c r="B50" s="2">
        <v>0.94773575899999996</v>
      </c>
      <c r="C50" s="4">
        <f t="shared" si="0"/>
        <v>1.3188531544876673E-3</v>
      </c>
    </row>
    <row r="51" spans="1:3">
      <c r="A51" s="1">
        <v>45443</v>
      </c>
      <c r="B51" s="2">
        <v>0.94865991000000005</v>
      </c>
      <c r="C51" s="4">
        <f t="shared" si="0"/>
        <v>9.7511462580583631E-4</v>
      </c>
    </row>
    <row r="52" spans="1:3">
      <c r="A52" s="1">
        <v>45450</v>
      </c>
      <c r="B52" s="2">
        <v>0.95274762700000004</v>
      </c>
      <c r="C52" s="4">
        <f t="shared" si="0"/>
        <v>4.3089382790509091E-3</v>
      </c>
    </row>
    <row r="53" spans="1:3">
      <c r="A53" s="1">
        <v>45457</v>
      </c>
      <c r="B53" s="2">
        <v>0.95953611800000005</v>
      </c>
      <c r="C53" s="4">
        <f t="shared" si="0"/>
        <v>7.1251722991696386E-3</v>
      </c>
    </row>
    <row r="54" spans="1:3">
      <c r="A54" s="1">
        <v>45464</v>
      </c>
      <c r="B54" s="2">
        <v>0.96221708800000005</v>
      </c>
      <c r="C54" s="4">
        <f t="shared" si="0"/>
        <v>2.7940271863742439E-3</v>
      </c>
    </row>
    <row r="55" spans="1:3">
      <c r="A55" s="1">
        <v>45471</v>
      </c>
      <c r="B55" s="2">
        <v>0.96651484700000001</v>
      </c>
      <c r="C55" s="4">
        <f t="shared" si="0"/>
        <v>4.4665170194940007E-3</v>
      </c>
    </row>
    <row r="56" spans="1:3">
      <c r="A56" s="1">
        <v>45478</v>
      </c>
      <c r="B56" s="2">
        <v>0.96794867699999998</v>
      </c>
      <c r="C56" s="4">
        <f t="shared" si="0"/>
        <v>1.4835054054787523E-3</v>
      </c>
    </row>
    <row r="57" spans="1:3">
      <c r="A57" s="1">
        <v>45485</v>
      </c>
      <c r="B57" s="2">
        <v>0.97077109399999995</v>
      </c>
      <c r="C57" s="4">
        <f t="shared" si="0"/>
        <v>2.9158746399112708E-3</v>
      </c>
    </row>
    <row r="58" spans="1:3">
      <c r="A58" s="1">
        <v>45492</v>
      </c>
      <c r="B58" s="2">
        <v>0.96939295199999997</v>
      </c>
      <c r="C58" s="4">
        <f t="shared" si="0"/>
        <v>-1.4196364194585002E-3</v>
      </c>
    </row>
    <row r="59" spans="1:3">
      <c r="A59" s="1">
        <v>45499</v>
      </c>
      <c r="B59" s="2">
        <v>0.97967401200000004</v>
      </c>
      <c r="C59" s="4">
        <f t="shared" si="0"/>
        <v>1.0605668195532811E-2</v>
      </c>
    </row>
    <row r="60" spans="1:3">
      <c r="A60" s="1">
        <v>45506</v>
      </c>
      <c r="B60" s="2">
        <v>0.97863977599999996</v>
      </c>
      <c r="C60" s="4">
        <f t="shared" si="0"/>
        <v>-1.0556940240648918E-3</v>
      </c>
    </row>
    <row r="61" spans="1:3">
      <c r="A61" s="1">
        <v>45513</v>
      </c>
      <c r="B61" s="2">
        <v>0.98511948299999996</v>
      </c>
      <c r="C61" s="4">
        <f t="shared" si="0"/>
        <v>6.6211359469615519E-3</v>
      </c>
    </row>
    <row r="62" spans="1:3">
      <c r="A62" s="1">
        <v>45520</v>
      </c>
      <c r="B62" s="2">
        <v>0.98513957200000002</v>
      </c>
      <c r="C62" s="4">
        <f t="shared" si="0"/>
        <v>2.0392450201958318E-5</v>
      </c>
    </row>
    <row r="63" spans="1:3">
      <c r="A63" s="1">
        <v>45527</v>
      </c>
      <c r="B63" s="2">
        <v>0.98437666000000001</v>
      </c>
      <c r="C63" s="4">
        <f t="shared" si="0"/>
        <v>-7.7442021585952942E-4</v>
      </c>
    </row>
    <row r="64" spans="1:3">
      <c r="A64" s="1">
        <v>45534</v>
      </c>
      <c r="B64" s="2">
        <v>0.98735657700000001</v>
      </c>
      <c r="C64" s="4">
        <f t="shared" si="0"/>
        <v>3.0272121649044365E-3</v>
      </c>
    </row>
    <row r="65" spans="1:3">
      <c r="A65" s="1">
        <v>45541</v>
      </c>
      <c r="B65" s="2">
        <v>0.99070000000000003</v>
      </c>
      <c r="C65" s="4">
        <f t="shared" si="0"/>
        <v>3.3862366219899217E-3</v>
      </c>
    </row>
    <row r="66" spans="1:3">
      <c r="A66" s="1">
        <v>45548</v>
      </c>
      <c r="B66" s="2">
        <v>0.99550000000000005</v>
      </c>
      <c r="C66" s="4">
        <f t="shared" si="0"/>
        <v>4.8450590491571884E-3</v>
      </c>
    </row>
    <row r="67" spans="1:3">
      <c r="A67" s="1">
        <v>45555</v>
      </c>
      <c r="B67" s="2">
        <v>0.99750000000000005</v>
      </c>
      <c r="C67" s="4">
        <f t="shared" si="0"/>
        <v>2.0090406830738337E-3</v>
      </c>
    </row>
    <row r="68" spans="1:3">
      <c r="A68" s="1">
        <v>45562</v>
      </c>
      <c r="B68" s="2">
        <v>0.99709999999999999</v>
      </c>
      <c r="C68" s="4">
        <f t="shared" ref="C68:C91" si="1">(B68-B67)/B67</f>
        <v>-4.0100250626573129E-4</v>
      </c>
    </row>
    <row r="69" spans="1:3">
      <c r="A69" s="1">
        <v>45576</v>
      </c>
      <c r="B69" s="2">
        <v>1.0019</v>
      </c>
      <c r="C69" s="4">
        <f t="shared" si="1"/>
        <v>4.8139604854077088E-3</v>
      </c>
    </row>
    <row r="70" spans="1:3">
      <c r="A70" s="3">
        <v>45583</v>
      </c>
      <c r="B70" s="2">
        <v>1.0078</v>
      </c>
      <c r="C70" s="4">
        <f t="shared" si="1"/>
        <v>5.8888112586086595E-3</v>
      </c>
    </row>
    <row r="71" spans="1:3">
      <c r="A71" s="3">
        <v>45590</v>
      </c>
      <c r="B71" s="2">
        <v>1.0091000000000001</v>
      </c>
      <c r="C71" s="4">
        <f t="shared" si="1"/>
        <v>1.2899384798571926E-3</v>
      </c>
    </row>
    <row r="72" spans="1:3">
      <c r="A72" s="3">
        <v>45595</v>
      </c>
      <c r="B72" s="2">
        <v>1.0124</v>
      </c>
      <c r="C72" s="4">
        <f t="shared" si="1"/>
        <v>3.2702408086412232E-3</v>
      </c>
    </row>
    <row r="73" spans="1:3">
      <c r="A73" s="3">
        <v>45597</v>
      </c>
      <c r="B73" s="2">
        <v>1.0119</v>
      </c>
      <c r="C73" s="4">
        <f t="shared" si="1"/>
        <v>-4.9387593836422851E-4</v>
      </c>
    </row>
    <row r="74" spans="1:3">
      <c r="A74" s="3">
        <v>45604</v>
      </c>
      <c r="B74" s="2">
        <v>1.0112000000000001</v>
      </c>
      <c r="C74" s="4">
        <f t="shared" si="1"/>
        <v>-6.9176796126091801E-4</v>
      </c>
    </row>
    <row r="75" spans="1:3">
      <c r="A75" s="3">
        <v>45611</v>
      </c>
      <c r="B75" s="2">
        <v>1.0113000000000001</v>
      </c>
      <c r="C75" s="4">
        <f t="shared" si="1"/>
        <v>9.8892405063280241E-5</v>
      </c>
    </row>
    <row r="76" spans="1:3">
      <c r="A76" s="3">
        <v>45618</v>
      </c>
      <c r="B76" s="2">
        <v>1.0124</v>
      </c>
      <c r="C76" s="4">
        <f t="shared" si="1"/>
        <v>1.0877088895479864E-3</v>
      </c>
    </row>
    <row r="77" spans="1:3">
      <c r="A77" s="3">
        <v>45625</v>
      </c>
      <c r="B77" s="2">
        <v>1.0136000000000001</v>
      </c>
      <c r="C77" s="4">
        <f t="shared" si="1"/>
        <v>1.1853022520743677E-3</v>
      </c>
    </row>
    <row r="78" spans="1:3">
      <c r="A78" s="3">
        <v>45632</v>
      </c>
      <c r="B78" s="2">
        <v>1.0127999999999999</v>
      </c>
      <c r="C78" s="4">
        <f t="shared" si="1"/>
        <v>-7.8926598263628044E-4</v>
      </c>
    </row>
    <row r="79" spans="1:3">
      <c r="A79" s="3">
        <v>45639</v>
      </c>
      <c r="B79" s="2">
        <v>1.004</v>
      </c>
      <c r="C79" s="4">
        <f t="shared" si="1"/>
        <v>-8.6887835703000783E-3</v>
      </c>
    </row>
    <row r="80" spans="1:3">
      <c r="A80" s="3">
        <v>45646</v>
      </c>
      <c r="B80" s="2">
        <v>1</v>
      </c>
      <c r="C80" s="4">
        <f t="shared" si="1"/>
        <v>-3.9840637450199237E-3</v>
      </c>
    </row>
    <row r="81" spans="1:3">
      <c r="A81" s="3">
        <v>45653</v>
      </c>
      <c r="B81" s="2">
        <v>1.0001</v>
      </c>
      <c r="C81" s="4">
        <f t="shared" si="1"/>
        <v>9.9999999999988987E-5</v>
      </c>
    </row>
    <row r="82" spans="1:3">
      <c r="A82" s="3">
        <v>45660</v>
      </c>
      <c r="B82" s="2">
        <v>1.0015000000000001</v>
      </c>
      <c r="C82" s="4">
        <f t="shared" si="1"/>
        <v>1.3998600139986681E-3</v>
      </c>
    </row>
    <row r="83" spans="1:3">
      <c r="A83" s="3">
        <v>45667</v>
      </c>
      <c r="B83" s="2">
        <v>1.0038</v>
      </c>
      <c r="C83" s="4">
        <f t="shared" si="1"/>
        <v>2.2965551672490948E-3</v>
      </c>
    </row>
    <row r="84" spans="1:3">
      <c r="A84" s="3">
        <v>45674</v>
      </c>
      <c r="B84" s="2">
        <v>0.98960000000000004</v>
      </c>
      <c r="C84" s="4">
        <f t="shared" si="1"/>
        <v>-1.4146244271767274E-2</v>
      </c>
    </row>
    <row r="85" spans="1:3">
      <c r="A85" s="3">
        <v>45681</v>
      </c>
      <c r="B85" s="2">
        <v>0.98729999999999996</v>
      </c>
      <c r="C85" s="4">
        <f t="shared" si="1"/>
        <v>-2.3241713823767985E-3</v>
      </c>
    </row>
    <row r="86" spans="1:3">
      <c r="A86" s="3">
        <v>45688</v>
      </c>
      <c r="B86" s="2">
        <v>0.98829999999999996</v>
      </c>
      <c r="C86" s="4">
        <f t="shared" si="1"/>
        <v>1.0128633647320986E-3</v>
      </c>
    </row>
    <row r="87" spans="1:3">
      <c r="A87" s="3">
        <v>45695</v>
      </c>
      <c r="B87" s="2">
        <v>0.98770000000000002</v>
      </c>
      <c r="C87" s="4">
        <f t="shared" si="1"/>
        <v>-6.0710310634416059E-4</v>
      </c>
    </row>
    <row r="88" spans="1:3">
      <c r="A88" s="3">
        <v>45702</v>
      </c>
      <c r="B88" s="2">
        <v>0.98939999999999995</v>
      </c>
      <c r="C88" s="4">
        <f t="shared" si="1"/>
        <v>1.7211703958691139E-3</v>
      </c>
    </row>
    <row r="89" spans="1:3">
      <c r="A89" s="3">
        <v>45709</v>
      </c>
      <c r="B89" s="2">
        <v>0.98950000000000005</v>
      </c>
      <c r="C89" s="4">
        <f t="shared" si="1"/>
        <v>1.0107135637770367E-4</v>
      </c>
    </row>
    <row r="90" spans="1:3">
      <c r="A90" s="3">
        <v>45716</v>
      </c>
      <c r="B90" s="2">
        <v>0.99270000000000003</v>
      </c>
      <c r="C90" s="4">
        <f t="shared" si="1"/>
        <v>3.2339565437089243E-3</v>
      </c>
    </row>
    <row r="91" spans="1:3">
      <c r="A91" s="3">
        <v>45723</v>
      </c>
      <c r="B91" s="2">
        <v>0.98050000000000004</v>
      </c>
      <c r="C91" s="4">
        <f t="shared" si="1"/>
        <v>-1.2289714918908018E-2</v>
      </c>
    </row>
    <row r="92" spans="1:3">
      <c r="A92" s="3">
        <v>45730</v>
      </c>
      <c r="B92" s="2">
        <f>B91*(1+0.07%)</f>
        <v>0.98118634999999998</v>
      </c>
      <c r="C92" s="8">
        <v>6.9999999999999999E-4</v>
      </c>
    </row>
    <row r="93" spans="1:3">
      <c r="A93" s="3">
        <v>45737</v>
      </c>
      <c r="B93" s="2">
        <f>B92*(1+C93)</f>
        <v>0.98344307860499991</v>
      </c>
      <c r="C93" s="8">
        <v>2.3E-3</v>
      </c>
    </row>
    <row r="94" spans="1:3">
      <c r="A94" s="3">
        <v>45747</v>
      </c>
      <c r="B94" s="2">
        <f>B93*(1+C94)</f>
        <v>0.9843281773757443</v>
      </c>
      <c r="C94" s="8">
        <v>8.9999999999999998E-4</v>
      </c>
    </row>
    <row r="95" spans="1:3">
      <c r="A95" s="3">
        <v>45750</v>
      </c>
      <c r="B95" s="2">
        <f>B94*(1+0.35%)</f>
        <v>0.98777332599655943</v>
      </c>
      <c r="C95" s="8">
        <v>3.5000000000000001E-3</v>
      </c>
    </row>
    <row r="96" spans="1:3">
      <c r="A96" s="3">
        <v>45758</v>
      </c>
      <c r="B96" s="2">
        <f>B95*(1+0.42%)</f>
        <v>0.991921973965745</v>
      </c>
      <c r="C96" s="8">
        <v>4.1999999999999997E-3</v>
      </c>
    </row>
    <row r="97" spans="1:3">
      <c r="A97" s="3">
        <v>45765</v>
      </c>
      <c r="B97" s="2">
        <f>B96*(1+0.41%)</f>
        <v>0.9959888540590045</v>
      </c>
      <c r="C97" s="8">
        <v>4.1000000000000003E-3</v>
      </c>
    </row>
    <row r="98" spans="1:3">
      <c r="A98" s="3">
        <v>45772</v>
      </c>
      <c r="B98" s="2">
        <f>B97*(1+0.35%)</f>
        <v>0.99947481504821112</v>
      </c>
      <c r="C98" s="8">
        <v>3.5000000000000001E-3</v>
      </c>
    </row>
    <row r="99" spans="1:3">
      <c r="A99" s="3">
        <v>45779</v>
      </c>
      <c r="B99" s="2">
        <f>B98*(1+0.01%)</f>
        <v>0.99957476252971589</v>
      </c>
      <c r="C99" s="8">
        <v>1E-4</v>
      </c>
    </row>
    <row r="100" spans="1:3">
      <c r="A100" s="3">
        <v>45786</v>
      </c>
      <c r="B100" s="2">
        <f>B99*(1-0.07%)</f>
        <v>0.99887506019594507</v>
      </c>
      <c r="C100" s="8">
        <v>-6.9999999999999999E-4</v>
      </c>
    </row>
    <row r="101" spans="1:3">
      <c r="A101" s="3">
        <v>45796</v>
      </c>
      <c r="B101" s="2">
        <f>B100*(1-0.24%)</f>
        <v>0.99647776005147481</v>
      </c>
      <c r="C101" s="8">
        <v>-2.3999999999999998E-3</v>
      </c>
    </row>
    <row r="102" spans="1:3">
      <c r="A102" s="3">
        <v>45803</v>
      </c>
      <c r="B102" s="2">
        <f>B101*(1+0.3%)</f>
        <v>0.99946719333162914</v>
      </c>
      <c r="C102" s="8">
        <v>3.0000000000000001E-3</v>
      </c>
    </row>
    <row r="103" spans="1:3">
      <c r="A103" s="3">
        <v>45810</v>
      </c>
      <c r="B103" s="2">
        <f>B102*(1+0.13%)</f>
        <v>1.0007665006829602</v>
      </c>
      <c r="C103" s="8">
        <v>1.2999999999999999E-3</v>
      </c>
    </row>
    <row r="104" spans="1:3">
      <c r="A104" s="3">
        <v>45817</v>
      </c>
      <c r="B104" s="2">
        <f>B103*(1+0.22%)</f>
        <v>1.0029681869844627</v>
      </c>
      <c r="C104" s="8">
        <v>2.2000000000000001E-3</v>
      </c>
    </row>
    <row r="105" spans="1:3">
      <c r="A105" s="3">
        <v>45824</v>
      </c>
      <c r="B105" s="2">
        <f>B104*(1+0.18%)</f>
        <v>1.0047735297210347</v>
      </c>
      <c r="C105" s="8">
        <v>1.8E-3</v>
      </c>
    </row>
    <row r="106" spans="1:3">
      <c r="A106" s="3">
        <v>45831</v>
      </c>
      <c r="B106" s="2">
        <f>B105*(1+0.64%)</f>
        <v>1.0112040803112494</v>
      </c>
      <c r="C106" s="8">
        <v>6.4000000000000003E-3</v>
      </c>
    </row>
    <row r="107" spans="1:3">
      <c r="A107" s="3">
        <v>45838</v>
      </c>
      <c r="B107" s="9">
        <f t="shared" ref="B107:B111" si="2">B106*(1+C107)</f>
        <v>1.0165634619368991</v>
      </c>
      <c r="C107" s="8">
        <v>5.3E-3</v>
      </c>
    </row>
    <row r="108" spans="1:3">
      <c r="A108" s="3">
        <v>45845</v>
      </c>
      <c r="B108" s="9">
        <f t="shared" si="2"/>
        <v>1.0190032142455476</v>
      </c>
      <c r="C108" s="8">
        <v>2.3999999999999998E-3</v>
      </c>
    </row>
    <row r="109" spans="1:3">
      <c r="A109" s="3">
        <v>45852</v>
      </c>
      <c r="B109" s="9">
        <f t="shared" si="2"/>
        <v>1.0175766097456038</v>
      </c>
      <c r="C109" s="8">
        <v>-1.4E-3</v>
      </c>
    </row>
    <row r="110" spans="1:3">
      <c r="A110" s="3">
        <v>45856</v>
      </c>
      <c r="B110" s="9">
        <f t="shared" si="2"/>
        <v>1.0183906710334003</v>
      </c>
      <c r="C110" s="8">
        <v>8.0000000000000004E-4</v>
      </c>
    </row>
    <row r="111" spans="1:3">
      <c r="A111" s="3">
        <v>45863</v>
      </c>
      <c r="B111" s="9">
        <f t="shared" si="2"/>
        <v>1.0204274523754671</v>
      </c>
      <c r="C111" s="8">
        <v>2E-3</v>
      </c>
    </row>
    <row r="112" spans="1:3">
      <c r="A112" s="3">
        <v>45870</v>
      </c>
      <c r="B112" s="9">
        <f>B111*(1+C112)</f>
        <v>1.0236928202230686</v>
      </c>
      <c r="C112" s="8">
        <v>3.2000000000000002E-3</v>
      </c>
    </row>
    <row r="113" spans="1:3">
      <c r="A113" s="3">
        <v>45877</v>
      </c>
      <c r="B113" s="9">
        <f>B112*(1+C113)</f>
        <v>1.0239999280691354</v>
      </c>
      <c r="C113" s="8">
        <v>2.9999999999999997E-4</v>
      </c>
    </row>
    <row r="114" spans="1:3">
      <c r="A114" s="3">
        <v>45884</v>
      </c>
      <c r="B114" s="9">
        <f>B113*(1+C114)</f>
        <v>1.0259455279324667</v>
      </c>
      <c r="C114" s="8">
        <v>1.9E-3</v>
      </c>
    </row>
    <row r="115" spans="1:3">
      <c r="A115" s="3">
        <v>45891</v>
      </c>
      <c r="B115" s="9">
        <f>B114*(1+C115)</f>
        <v>1.0274844462243655</v>
      </c>
      <c r="C115" s="8">
        <v>1.5E-3</v>
      </c>
    </row>
    <row r="116" spans="1:3">
      <c r="A116" s="3">
        <v>45898</v>
      </c>
      <c r="B116" s="9">
        <f>B115*(1-0.81%)</f>
        <v>1.0191618222099481</v>
      </c>
      <c r="C116" s="8">
        <v>-8.0999999999999996E-3</v>
      </c>
    </row>
    <row r="117" spans="1:3">
      <c r="A117" s="3">
        <v>45905</v>
      </c>
      <c r="B117" s="9">
        <f>B116*(1+0.15%)</f>
        <v>1.0206905649432632</v>
      </c>
      <c r="C117" s="8">
        <v>1.5E-3</v>
      </c>
    </row>
    <row r="118" spans="1:3">
      <c r="A118" s="3">
        <v>45912</v>
      </c>
      <c r="B118" s="2">
        <f>B117*(1+0.28%)</f>
        <v>1.0235484985251042</v>
      </c>
      <c r="C118" s="8">
        <v>2.8E-3</v>
      </c>
    </row>
    <row r="119" spans="1:3">
      <c r="A119" s="3">
        <v>45919</v>
      </c>
      <c r="B119" s="2">
        <f>B118*(1+0.16%)</f>
        <v>1.0251861761227443</v>
      </c>
      <c r="C119" s="8">
        <v>1.6000000000000001E-3</v>
      </c>
    </row>
    <row r="120" spans="1:3">
      <c r="A120" s="1">
        <v>45926</v>
      </c>
      <c r="B120" s="2">
        <f>B119*(1+0.28%)</f>
        <v>1.028056697415888</v>
      </c>
      <c r="C120" s="8">
        <v>2.8E-3</v>
      </c>
    </row>
    <row r="121" spans="1:3">
      <c r="A121" s="1">
        <v>45940</v>
      </c>
      <c r="B121" s="2">
        <f>B120*(1+0.18%)</f>
        <v>1.0299071994712365</v>
      </c>
      <c r="C121" s="8">
        <v>1.8E-3</v>
      </c>
    </row>
    <row r="122" spans="1:3">
      <c r="A122" s="1">
        <v>45947</v>
      </c>
      <c r="B122" s="2">
        <f>B121*(1+1.61%)</f>
        <v>1.0464887053827234</v>
      </c>
      <c r="C122" s="8">
        <v>1.61E-2</v>
      </c>
    </row>
    <row r="123" spans="1:3">
      <c r="A123" s="1">
        <v>45954</v>
      </c>
      <c r="B123" s="2">
        <f>B122*(1+0.97%)</f>
        <v>1.0566396458249359</v>
      </c>
      <c r="C123" s="8">
        <v>9.7000000000000003E-3</v>
      </c>
    </row>
    <row r="124" spans="1:3">
      <c r="A124" s="1">
        <v>45961</v>
      </c>
      <c r="B124" s="2">
        <f>B123*(1+0.34%)</f>
        <v>1.0602322206207406</v>
      </c>
      <c r="C124" s="8">
        <v>3.3999999999999998E-3</v>
      </c>
    </row>
    <row r="125" spans="1:3">
      <c r="A125" s="1">
        <v>45968</v>
      </c>
      <c r="B125" s="2">
        <f>B124*(1+0.31%)</f>
        <v>1.063518940504665</v>
      </c>
      <c r="C125" s="8">
        <v>3.0999999999999999E-3</v>
      </c>
    </row>
    <row r="126" spans="1:3">
      <c r="A126" s="1">
        <v>45975</v>
      </c>
      <c r="B126" s="2">
        <f>B125*(1-0.06%)</f>
        <v>1.0628808291403622</v>
      </c>
      <c r="C126" s="8">
        <v>-5.9999999999999995E-4</v>
      </c>
    </row>
    <row r="127" spans="1:3">
      <c r="A127" s="1">
        <v>45982</v>
      </c>
      <c r="B127" s="2">
        <f>B126*(1+0.77%)</f>
        <v>1.0710650115247431</v>
      </c>
      <c r="C127" s="8">
        <v>7.7000000000000002E-3</v>
      </c>
    </row>
    <row r="128" spans="1:3">
      <c r="A128" s="1">
        <v>45989</v>
      </c>
      <c r="B128" s="2">
        <f>B127*(1-0.2%)</f>
        <v>1.0689228815016936</v>
      </c>
      <c r="C128" s="8">
        <v>-2E-3</v>
      </c>
    </row>
    <row r="129" spans="1:3">
      <c r="A129" s="1">
        <v>45996</v>
      </c>
      <c r="B129" s="2">
        <f>B128*(1+0.3%)</f>
        <v>1.0721296501461985</v>
      </c>
      <c r="C129" s="8">
        <v>3.0000000000000001E-3</v>
      </c>
    </row>
    <row r="130" spans="1:3">
      <c r="A130" s="1">
        <v>46003</v>
      </c>
      <c r="B130" s="2">
        <f>B129*(1+0.09%)</f>
        <v>1.0730945668313301</v>
      </c>
      <c r="C130" s="8">
        <v>8.9999999999999998E-4</v>
      </c>
    </row>
    <row r="131" spans="1:3">
      <c r="A131" s="1">
        <v>46010</v>
      </c>
      <c r="B131" s="2">
        <f>B130*(1+0.11%)</f>
        <v>1.0742749708548447</v>
      </c>
      <c r="C131" s="8">
        <v>1.1000000000000001E-3</v>
      </c>
    </row>
    <row r="132" spans="1:3">
      <c r="A132" s="1">
        <v>46017</v>
      </c>
      <c r="B132" s="2">
        <f>B131*(1-0.71%)</f>
        <v>1.0666476185617753</v>
      </c>
      <c r="C132" s="8">
        <v>-7.1000000000000004E-3</v>
      </c>
    </row>
    <row r="133" spans="1:3">
      <c r="A133" s="1">
        <v>46024</v>
      </c>
      <c r="B133" s="2">
        <f>B132*(1+0.25%)</f>
        <v>1.0693142376081797</v>
      </c>
      <c r="C133" s="8">
        <v>2.5000000000000001E-3</v>
      </c>
    </row>
    <row r="134" spans="1:3">
      <c r="A134" s="1">
        <v>46031</v>
      </c>
      <c r="B134" s="2">
        <f>B133*(1+0.22%)</f>
        <v>1.0716667289309176</v>
      </c>
      <c r="C134" s="8">
        <v>2.2000000000000001E-3</v>
      </c>
    </row>
    <row r="135" spans="1:3">
      <c r="A135" s="1">
        <v>46041</v>
      </c>
      <c r="B135" s="2">
        <f>B134*(1-0.39%)</f>
        <v>1.067487228688087</v>
      </c>
      <c r="C135" s="8">
        <v>-3.8999999999999998E-3</v>
      </c>
    </row>
    <row r="136" spans="1:3">
      <c r="A136" s="1">
        <v>46045</v>
      </c>
      <c r="B136" s="2">
        <f>B135*(1-0.06%)</f>
        <v>1.066846736350874</v>
      </c>
      <c r="C136" s="8">
        <v>-5.9999999999999995E-4</v>
      </c>
    </row>
    <row r="137" spans="1:3">
      <c r="A137" s="1">
        <v>46052</v>
      </c>
      <c r="B137" s="2">
        <f>B136*(1+0.81%)</f>
        <v>1.0754881949153161</v>
      </c>
      <c r="C137" s="8">
        <v>8.0999999999999996E-3</v>
      </c>
    </row>
    <row r="138" spans="1:3">
      <c r="A138" s="1">
        <v>46059</v>
      </c>
      <c r="B138" s="2">
        <f>B137*(1+0.61%)</f>
        <v>1.0820486729042995</v>
      </c>
      <c r="C138" s="8">
        <v>6.1000000000000004E-3</v>
      </c>
    </row>
    <row r="139" spans="1:3">
      <c r="A139" s="1">
        <v>46073</v>
      </c>
      <c r="B139" s="2">
        <f>B138*(1-0.13%)</f>
        <v>1.0806420096295239</v>
      </c>
      <c r="C139" s="8">
        <v>-1.2999999999999999E-3</v>
      </c>
    </row>
    <row r="140" spans="1:3">
      <c r="A140" s="1">
        <v>46080</v>
      </c>
      <c r="B140" s="2">
        <f>B139*(1+0.3%)</f>
        <v>1.0838839356584125</v>
      </c>
      <c r="C140" s="8">
        <v>3.0000000000000001E-3</v>
      </c>
    </row>
    <row r="141" spans="1:3">
      <c r="A141" s="1">
        <v>46087</v>
      </c>
      <c r="B141" s="2">
        <f>B140*(1+0.31%)</f>
        <v>1.0872439758589536</v>
      </c>
      <c r="C141" s="8">
        <v>3.0999999999999999E-3</v>
      </c>
    </row>
    <row r="142" spans="1:3">
      <c r="A142" s="1">
        <v>46094</v>
      </c>
      <c r="B142" s="2">
        <f>B141*(1+0.99%)</f>
        <v>1.0980076912199572</v>
      </c>
      <c r="C142" s="8">
        <v>9.9000000000000008E-3</v>
      </c>
    </row>
    <row r="143" spans="1:3">
      <c r="A143" s="1">
        <v>46101</v>
      </c>
      <c r="B143" s="2">
        <f>B142*(1+0.23%)</f>
        <v>1.1005331089097632</v>
      </c>
      <c r="C143" s="8">
        <v>2.3E-3</v>
      </c>
    </row>
  </sheetData>
  <autoFilter ref="A1:C1" xr:uid="{9F9748B9-5D0D-8F4F-909A-402BACDE1F47}"/>
  <mergeCells count="6">
    <mergeCell ref="F7:G7"/>
    <mergeCell ref="F2:G2"/>
    <mergeCell ref="F3:G3"/>
    <mergeCell ref="F4:G4"/>
    <mergeCell ref="F5:G5"/>
    <mergeCell ref="F6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净值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张建军</dc:creator>
  <cp:lastModifiedBy>370731726@qq.com</cp:lastModifiedBy>
  <dcterms:created xsi:type="dcterms:W3CDTF">2024-08-20T06:11:58Z</dcterms:created>
  <dcterms:modified xsi:type="dcterms:W3CDTF">2026-03-30T09:29:59Z</dcterms:modified>
</cp:coreProperties>
</file>